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KPI_Summary" sheetId="2" r:id="rId6"/>
    <sheet state="visible" name="Dashboard" sheetId="3" r:id="rId7"/>
    <sheet state="visible" name="Sales Trend Over Time" sheetId="4" r:id="rId8"/>
    <sheet state="visible" name="Top Product" sheetId="5" r:id="rId9"/>
    <sheet state="visible" name="Profit by Category" sheetId="6" r:id="rId10"/>
    <sheet state="visible" name="Sales by Region" sheetId="7" r:id="rId11"/>
  </sheets>
  <definedNames/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<sst xmlns="http://schemas.openxmlformats.org/spreadsheetml/2006/main" count="79" uniqueCount="37">
  <si>
    <t xml:space="preserve">KPI </t>
  </si>
  <si>
    <t>Order_ID</t>
  </si>
  <si>
    <t>Value</t>
  </si>
  <si>
    <t>Date</t>
  </si>
  <si>
    <t>Region</t>
  </si>
  <si>
    <t>Total Sales</t>
  </si>
  <si>
    <t>Product_Category</t>
  </si>
  <si>
    <t>Product</t>
  </si>
  <si>
    <t>Sales_Amount</t>
  </si>
  <si>
    <t>Quantity</t>
  </si>
  <si>
    <t>Profit</t>
  </si>
  <si>
    <t>Profit_margin</t>
  </si>
  <si>
    <t>Average profit</t>
  </si>
  <si>
    <t>East</t>
  </si>
  <si>
    <t>Electronics</t>
  </si>
  <si>
    <t>Laptop</t>
  </si>
  <si>
    <t>Total Profit</t>
  </si>
  <si>
    <t>Avg profit</t>
  </si>
  <si>
    <t>Avg Profit Margin</t>
  </si>
  <si>
    <t>West</t>
  </si>
  <si>
    <t>Furniture</t>
  </si>
  <si>
    <t>Chair</t>
  </si>
  <si>
    <t>North</t>
  </si>
  <si>
    <t>Mobile</t>
  </si>
  <si>
    <t>South</t>
  </si>
  <si>
    <t>Office Supplies</t>
  </si>
  <si>
    <t>Pen</t>
  </si>
  <si>
    <t>Table</t>
  </si>
  <si>
    <t>Headphones</t>
  </si>
  <si>
    <t>Notebook</t>
  </si>
  <si>
    <t>Sofa</t>
  </si>
  <si>
    <t>SUM of Quantity</t>
  </si>
  <si>
    <t>Grand Total</t>
  </si>
  <si>
    <t>SUM of Sales_Amount</t>
  </si>
  <si>
    <t>SUM of Profit</t>
  </si>
  <si>
    <t>KPI</t>
  </si>
  <si>
    <t>Avg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</si>
</sst>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0" xfId="0" applyAlignment="1" applyFont="1" applyNumberFormat="1">
      <alignment horizontal="right"/>
    </xf>
    <xf borderId="0" fillId="0" fontId="2" numFmtId="10" xfId="0" applyFont="1" applyNumberFormat="1"/>
    <xf borderId="0" fillId="0" fontId="2" numFmtId="164" xfId="0" applyFont="1" applyNumberFormat="1"/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1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 Over Time'!$B$1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Trend Over Time'!$A$2:$A$11</c:f>
            </c:strRef>
          </c:cat>
          <c:val>
            <c:numRef>
              <c:f>'Sales Trend Over Time'!$B$2:$B$11</c:f>
              <c:numCache/>
            </c:numRef>
          </c:val>
          <c:smooth val="0"/>
        </c:ser>
        <c:axId val="2061392995"/>
        <c:axId val="790829405"/>
      </c:lineChart>
      <c:catAx>
        <c:axId val="2061392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829405"/>
      </c:catAx>
      <c:valAx>
        <c:axId val="7908294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3929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Top Product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'Top Product'!$B$1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'Top Product'!$A$2:$A$10</c:f>
            </c:strRef>
          </c:cat>
          <c:val>
            <c:numRef>
              <c:f>'Top Product'!$B$2:$B$10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Category'!$A$2:$A$5</c:f>
            </c:strRef>
          </c:cat>
          <c:val>
            <c:numRef>
              <c:f>'Profit by Category'!$B$2:$B$5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Region'!$A$2:$A$6</c:f>
            </c:strRef>
          </c:cat>
          <c:val>
            <c:numRef>
              <c:f>'Sales by Region'!$B$2:$B$6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Sales_Amount vs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 Over Time'!$B$1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Trend Over Time'!$A$2:$A$11</c:f>
            </c:strRef>
          </c:cat>
          <c:val>
            <c:numRef>
              <c:f>'Sales Trend Over Time'!$B$2:$B$11</c:f>
              <c:numCache/>
            </c:numRef>
          </c:val>
          <c:smooth val="0"/>
        </c:ser>
        <c:axId val="722569644"/>
        <c:axId val="506234442"/>
      </c:lineChart>
      <c:catAx>
        <c:axId val="722569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234442"/>
      </c:catAx>
      <c:valAx>
        <c:axId val="5062344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5696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'Top Product'!$B$1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'Top Product'!$A$2:$A$10</c:f>
            </c:strRef>
          </c:cat>
          <c:val>
            <c:numRef>
              <c:f>'Top Product'!$B$2:$B$10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Category'!$A$2:$A$5</c:f>
            </c:strRef>
          </c:cat>
          <c:val>
            <c:numRef>
              <c:f>'Profit by Category'!$B$2:$B$5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Sales_Amount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Region'!$A$2:$A$6</c:f>
            </c:strRef>
          </c:cat>
          <c:val>
            <c:numRef>
              <c:f>'Sales by Region'!$B$2:$B$6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7</xdr:row>
      <xdr:rowOff>38100</xdr:rowOff>
    </xdr:from>
    <xdr:ext cx="5819775" cy="3629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29</xdr:row>
      <xdr:rowOff>19050</xdr:rowOff>
    </xdr:from>
    <xdr:ext cx="581977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47625</xdr:colOff>
      <xdr:row>49</xdr:row>
      <xdr:rowOff>161925</xdr:rowOff>
    </xdr:from>
    <xdr:ext cx="5819775" cy="36004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70</xdr:row>
      <xdr:rowOff>180975</xdr:rowOff>
    </xdr:from>
    <xdr:ext cx="5819775" cy="3600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38100</xdr:colOff>
      <xdr:row>2</xdr:row>
      <xdr:rowOff>123825</xdr:rowOff>
    </xdr:from>
    <xdr:ext cx="5391150" cy="33337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3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619125</xdr:colOff>
      <xdr:row>2</xdr:row>
      <xdr:rowOff>133350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1" sheet="Raw_Data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</sharedItems>
    </cacheField>
    <cacheField name="Date" numFmtId="164">
      <sharedItems containsSemiMixedTypes="0" containsDate="1" containsString="0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</sharedItems>
    </cacheField>
    <cacheField name="Region" numFmtId="0">
      <sharedItems>
        <s v="East"/>
        <s v="West"/>
        <s v="North"/>
        <s v="South"/>
      </sharedItems>
    </cacheField>
    <cacheField name="Product_Category" numFmtId="0">
      <sharedItems>
        <s v="Electronics"/>
        <s v="Furniture"/>
        <s v="Office Supplies"/>
      </sharedItems>
    </cacheField>
    <cacheField name="Product" numFmtId="0">
      <sharedItems>
        <s v="Laptop"/>
        <s v="Chair"/>
        <s v="Mobile"/>
        <s v="Pen"/>
        <s v="Table"/>
        <s v="Headphones"/>
        <s v="Notebook"/>
        <s v="Sofa"/>
      </sharedItems>
    </cacheField>
    <cacheField name="Sales_Amount" numFmtId="0">
      <sharedItems containsSemiMixedTypes="0" containsString="0" containsNumber="1" containsInteger="1">
        <n v="55000.0"/>
        <n v="7000.0"/>
        <n v="20000.0"/>
        <n v="500.0"/>
        <n v="15000.0"/>
        <n v="3000.0"/>
        <n v="1200.0"/>
        <n v="56000.0"/>
        <n v="22000.0"/>
        <n v="40000.0"/>
      </sharedItems>
    </cacheField>
    <cacheField name="Quantity" numFmtId="0">
      <sharedItems containsSemiMixedTypes="0" containsString="0" containsNumber="1" containsInteger="1">
        <n v="1.0"/>
        <n v="2.0"/>
        <n v="10.0"/>
        <n v="3.0"/>
        <n v="5.0"/>
      </sharedItems>
    </cacheField>
    <cacheField name="Profit" numFmtId="0">
      <sharedItems containsSemiMixedTypes="0" containsString="0" containsNumber="1" containsInteger="1">
        <n v="8000.0"/>
        <n v="1200.0"/>
        <n v="3000.0"/>
        <n v="150.0"/>
        <n v="2500.0"/>
        <n v="900.0"/>
        <n v="400.0"/>
        <n v="8500.0"/>
        <n v="3200.0"/>
        <n v="60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11" sheet="Raw_Data"/>
  </cacheSource>
  <cacheFields>
    <cacheField name="Order_ID" numFmtId="0">
      <sharedItems containsSemiMixedTypes="0" containsString="0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</sharedItems>
    </cacheField>
    <cacheField name="Date" numFmtId="164">
      <sharedItems containsSemiMixedTypes="0" containsDate="1" containsString="0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</sharedItems>
    </cacheField>
    <cacheField name="Region" numFmtId="0">
      <sharedItems>
        <s v="East"/>
        <s v="West"/>
        <s v="North"/>
        <s v="South"/>
      </sharedItems>
    </cacheField>
    <cacheField name="Product_Category" numFmtId="0">
      <sharedItems>
        <s v="Electronics"/>
        <s v="Furniture"/>
        <s v="Office Supplies"/>
      </sharedItems>
    </cacheField>
    <cacheField name="Product" numFmtId="0">
      <sharedItems>
        <s v="Laptop"/>
        <s v="Chair"/>
        <s v="Mobile"/>
        <s v="Pen"/>
        <s v="Table"/>
        <s v="Headphones"/>
        <s v="Notebook"/>
        <s v="Sofa"/>
      </sharedItems>
    </cacheField>
    <cacheField name="Sales_Amount" numFmtId="0">
      <sharedItems containsSemiMixedTypes="0" containsString="0" containsNumber="1" containsInteger="1">
        <n v="55000.0"/>
        <n v="7000.0"/>
        <n v="20000.0"/>
        <n v="500.0"/>
        <n v="15000.0"/>
        <n v="3000.0"/>
        <n v="1200.0"/>
        <n v="56000.0"/>
        <n v="22000.0"/>
        <n v="40000.0"/>
      </sharedItems>
    </cacheField>
    <cacheField name="Quantity" numFmtId="0">
      <sharedItems containsSemiMixedTypes="0" containsString="0" containsNumber="1" containsInteger="1">
        <n v="1.0"/>
        <n v="2.0"/>
        <n v="10.0"/>
        <n v="3.0"/>
        <n v="5.0"/>
      </sharedItems>
    </cacheField>
    <cacheField name="Profit" numFmtId="0">
      <sharedItems containsSemiMixedTypes="0" containsString="0" containsNumber="1" containsInteger="1">
        <n v="8000.0"/>
        <n v="1200.0"/>
        <n v="3000.0"/>
        <n v="150.0"/>
        <n v="2500.0"/>
        <n v="900.0"/>
        <n v="400.0"/>
        <n v="8500.0"/>
        <n v="3200.0"/>
        <n v="6000.0"/>
      </sharedItems>
    </cacheField>
    <cacheField name="Profit_margin" numFmtId="10">
      <sharedItems containsSemiMixedTypes="0" containsString="0" containsNumber="1">
        <n v="0.14545454545454545"/>
        <n v="0.17142857142857143"/>
        <n v="0.15"/>
        <n v="0.3"/>
        <n v="0.16666666666666666"/>
        <n v="0.3333333333333333"/>
        <n v="0.1517857142857142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 Trend Over Time" cacheId="0" dataCaption="" compact="0" compactData="0">
  <location ref="A1:B11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</rowFields>
  <dataFields>
    <dataField name="SUM of Sales_Amount" fld="5" baseField="0"/>
  </dataFields>
</pivotTableDefinition>
</file>

<file path=xl/pivotTables/pivotTable2.xml><?xml version="1.0" encoding="utf-8"?>
<pivotTableDefinition xmlns="http://schemas.openxmlformats.org/spreadsheetml/2006/main" name="Top Product" cacheId="0" dataCaption="" compact="0" compactData="0">
  <location ref="A1:B10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" axis="axisRow" compact="0" outline="0" multipleItemSelectionAllowed="1" showAll="0" sortType="ascending">
      <items>
        <item x="1"/>
        <item x="5"/>
        <item x="0"/>
        <item x="2"/>
        <item x="6"/>
        <item x="3"/>
        <item x="7"/>
        <item x="4"/>
        <item t="default"/>
      </items>
    </pivotField>
    <pivotField name="Sale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4"/>
  </rowFields>
  <dataFields>
    <dataField name="SUM of Quantity" fld="6" baseField="0"/>
  </dataFields>
</pivotTableDefinition>
</file>

<file path=xl/pivotTables/pivotTable3.xml><?xml version="1.0" encoding="utf-8"?>
<pivotTableDefinition xmlns="http://schemas.openxmlformats.org/spreadsheetml/2006/main" name="Profit by Category" cacheId="1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fit_margin" compact="0" numFmtId="1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"/>
  </rowFields>
  <dataFields>
    <dataField name="SUM of Profit" fld="7" baseField="0"/>
  </dataFields>
</pivotTableDefinition>
</file>

<file path=xl/pivotTables/pivotTable4.xml><?xml version="1.0" encoding="utf-8"?>
<pivotTableDefinition xmlns="http://schemas.openxmlformats.org/spreadsheetml/2006/main" name="Sales by Region" cacheId="0" dataCaption="" compact="0" compactData="0">
  <location ref="A1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dataFields>
    <dataField name="SUM of Sales_Amount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2">
        <v>1001.0</v>
      </c>
      <c r="B2" s="3">
        <v>45292.0</v>
      </c>
      <c r="C2" s="2" t="s">
        <v>13</v>
      </c>
      <c r="D2" s="2" t="s">
        <v>14</v>
      </c>
      <c r="E2" s="2" t="s">
        <v>15</v>
      </c>
      <c r="F2" s="2">
        <v>55000.0</v>
      </c>
      <c r="G2" s="2">
        <v>1.0</v>
      </c>
      <c r="H2" s="2">
        <v>8000.0</v>
      </c>
      <c r="I2" s="5">
        <f t="shared" ref="I2:I11" si="1">H2/F2</f>
        <v>0.1454545455</v>
      </c>
      <c r="J2" s="4">
        <f t="shared" ref="J2:J11" si="2">AVERAGE(H2:H11)</f>
        <v>3385</v>
      </c>
    </row>
    <row r="3">
      <c r="A3" s="2">
        <v>1002.0</v>
      </c>
      <c r="B3" s="3">
        <v>45293.0</v>
      </c>
      <c r="C3" s="2" t="s">
        <v>19</v>
      </c>
      <c r="D3" s="2" t="s">
        <v>20</v>
      </c>
      <c r="E3" s="2" t="s">
        <v>21</v>
      </c>
      <c r="F3" s="2">
        <v>7000.0</v>
      </c>
      <c r="G3" s="2">
        <v>2.0</v>
      </c>
      <c r="H3" s="2">
        <v>1200.0</v>
      </c>
      <c r="I3" s="5">
        <f t="shared" si="1"/>
        <v>0.1714285714</v>
      </c>
      <c r="J3" s="4">
        <f t="shared" si="2"/>
        <v>5970</v>
      </c>
    </row>
    <row r="4">
      <c r="A4" s="2">
        <v>1003.0</v>
      </c>
      <c r="B4" s="3">
        <v>45294.0</v>
      </c>
      <c r="C4" s="2" t="s">
        <v>22</v>
      </c>
      <c r="D4" s="2" t="s">
        <v>14</v>
      </c>
      <c r="E4" s="2" t="s">
        <v>23</v>
      </c>
      <c r="F4" s="2">
        <v>20000.0</v>
      </c>
      <c r="G4" s="2">
        <v>1.0</v>
      </c>
      <c r="H4" s="2">
        <v>3000.0</v>
      </c>
      <c r="I4" s="5">
        <f t="shared" si="1"/>
        <v>0.15</v>
      </c>
      <c r="J4" s="4">
        <f t="shared" si="2"/>
        <v>6500</v>
      </c>
    </row>
    <row r="5">
      <c r="A5" s="2">
        <v>1004.0</v>
      </c>
      <c r="B5" s="3">
        <v>45294.0</v>
      </c>
      <c r="C5" s="2" t="s">
        <v>24</v>
      </c>
      <c r="D5" s="2" t="s">
        <v>25</v>
      </c>
      <c r="E5" s="2" t="s">
        <v>26</v>
      </c>
      <c r="F5" s="2">
        <v>500.0</v>
      </c>
      <c r="G5" s="2">
        <v>10.0</v>
      </c>
      <c r="H5" s="2">
        <v>150.0</v>
      </c>
      <c r="I5" s="5">
        <f t="shared" si="1"/>
        <v>0.3</v>
      </c>
      <c r="J5" s="4">
        <f t="shared" si="2"/>
        <v>6937.5</v>
      </c>
    </row>
    <row r="6">
      <c r="A6" s="2">
        <v>1005.0</v>
      </c>
      <c r="B6" s="3">
        <v>45295.0</v>
      </c>
      <c r="C6" s="2" t="s">
        <v>13</v>
      </c>
      <c r="D6" s="2" t="s">
        <v>20</v>
      </c>
      <c r="E6" s="2" t="s">
        <v>27</v>
      </c>
      <c r="F6" s="2">
        <v>15000.0</v>
      </c>
      <c r="G6" s="2">
        <v>1.0</v>
      </c>
      <c r="H6" s="2">
        <v>2500.0</v>
      </c>
      <c r="I6" s="5">
        <f t="shared" si="1"/>
        <v>0.1666666667</v>
      </c>
      <c r="J6" s="4">
        <f t="shared" si="2"/>
        <v>7907.142857</v>
      </c>
    </row>
    <row r="7">
      <c r="A7" s="2">
        <v>1006.0</v>
      </c>
      <c r="B7" s="3">
        <v>45296.0</v>
      </c>
      <c r="C7" s="2" t="s">
        <v>19</v>
      </c>
      <c r="D7" s="2" t="s">
        <v>14</v>
      </c>
      <c r="E7" s="2" t="s">
        <v>28</v>
      </c>
      <c r="F7" s="2">
        <v>3000.0</v>
      </c>
      <c r="G7" s="2">
        <v>3.0</v>
      </c>
      <c r="H7" s="2">
        <v>900.0</v>
      </c>
      <c r="I7" s="5">
        <f t="shared" si="1"/>
        <v>0.3</v>
      </c>
      <c r="J7" s="4">
        <f t="shared" si="2"/>
        <v>8808.333333</v>
      </c>
    </row>
    <row r="8">
      <c r="A8" s="2">
        <v>1007.0</v>
      </c>
      <c r="B8" s="3">
        <v>45297.0</v>
      </c>
      <c r="C8" s="2" t="s">
        <v>22</v>
      </c>
      <c r="D8" s="2" t="s">
        <v>25</v>
      </c>
      <c r="E8" s="2" t="s">
        <v>29</v>
      </c>
      <c r="F8" s="2">
        <v>1200.0</v>
      </c>
      <c r="G8" s="2">
        <v>5.0</v>
      </c>
      <c r="H8" s="2">
        <v>400.0</v>
      </c>
      <c r="I8" s="5">
        <f t="shared" si="1"/>
        <v>0.3333333333</v>
      </c>
      <c r="J8" s="4">
        <f t="shared" si="2"/>
        <v>10390</v>
      </c>
    </row>
    <row r="9">
      <c r="A9" s="2">
        <v>1008.0</v>
      </c>
      <c r="B9" s="3">
        <v>45298.0</v>
      </c>
      <c r="C9" s="2" t="s">
        <v>24</v>
      </c>
      <c r="D9" s="2" t="s">
        <v>14</v>
      </c>
      <c r="E9" s="2" t="s">
        <v>15</v>
      </c>
      <c r="F9" s="2">
        <v>56000.0</v>
      </c>
      <c r="G9" s="2">
        <v>1.0</v>
      </c>
      <c r="H9" s="2">
        <v>8500.0</v>
      </c>
      <c r="I9" s="5">
        <f t="shared" si="1"/>
        <v>0.1517857143</v>
      </c>
      <c r="J9" s="4">
        <f t="shared" si="2"/>
        <v>12887.5</v>
      </c>
    </row>
    <row r="10">
      <c r="A10" s="2">
        <v>1009.0</v>
      </c>
      <c r="B10" s="3">
        <v>45299.0</v>
      </c>
      <c r="C10" s="2" t="s">
        <v>13</v>
      </c>
      <c r="D10" s="2" t="s">
        <v>14</v>
      </c>
      <c r="E10" s="2" t="s">
        <v>23</v>
      </c>
      <c r="F10" s="2">
        <v>22000.0</v>
      </c>
      <c r="G10" s="2">
        <v>1.0</v>
      </c>
      <c r="H10" s="2">
        <v>3200.0</v>
      </c>
      <c r="I10" s="5">
        <f t="shared" si="1"/>
        <v>0.1454545455</v>
      </c>
      <c r="J10" s="4">
        <f t="shared" si="2"/>
        <v>14350</v>
      </c>
    </row>
    <row r="11">
      <c r="A11" s="2">
        <v>1010.0</v>
      </c>
      <c r="B11" s="3">
        <v>45300.0</v>
      </c>
      <c r="C11" s="2" t="s">
        <v>19</v>
      </c>
      <c r="D11" s="2" t="s">
        <v>20</v>
      </c>
      <c r="E11" s="2" t="s">
        <v>30</v>
      </c>
      <c r="F11" s="2">
        <v>40000.0</v>
      </c>
      <c r="G11" s="2">
        <v>1.0</v>
      </c>
      <c r="H11" s="2">
        <v>6000.0</v>
      </c>
      <c r="I11" s="5">
        <f t="shared" si="1"/>
        <v>0.15</v>
      </c>
      <c r="J11" s="4">
        <f t="shared" si="2"/>
        <v>19925</v>
      </c>
    </row>
    <row r="12">
      <c r="F12" s="4">
        <f>SUM(F2:F11)</f>
        <v>219700</v>
      </c>
      <c r="H12" s="4">
        <f>SUM(H2:H11)</f>
        <v>33850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" t="s">
        <v>0</v>
      </c>
      <c r="B1" s="1" t="s">
        <v>2</v>
      </c>
    </row>
    <row r="2">
      <c r="A2" s="2" t="s">
        <v>5</v>
      </c>
      <c r="B2" s="4">
        <f>SUM(Raw_Data!F2:F11)</f>
        <v>219700</v>
      </c>
    </row>
    <row r="3">
      <c r="A3" s="2" t="s">
        <v>16</v>
      </c>
      <c r="B3" s="4">
        <f>SUM(Raw_Data!H2:H11)</f>
        <v>33850</v>
      </c>
    </row>
    <row r="4">
      <c r="A4" s="2" t="s">
        <v>17</v>
      </c>
      <c r="B4" s="4">
        <f>AVERAGE(Raw_Data!H2:H11)</f>
        <v>3385</v>
      </c>
    </row>
    <row r="5">
      <c r="A5" s="2" t="s">
        <v>18</v>
      </c>
      <c r="B5" s="6">
        <f>AVERAGE(Raw_Data!I2:I11)</f>
        <v>0.2014123377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13.75"/>
  </cols>
  <sheetData>
    <row r="1">
      <c r="B1" s="8" t="s">
        <v>35</v>
      </c>
      <c r="C1" s="8" t="s">
        <v>2</v>
      </c>
    </row>
    <row r="2">
      <c r="B2" s="9" t="s">
        <v>5</v>
      </c>
      <c r="C2" s="10">
        <f>KPI_Summary!B2</f>
        <v>219700</v>
      </c>
    </row>
    <row r="3">
      <c r="B3" s="9" t="s">
        <v>16</v>
      </c>
      <c r="C3" s="10">
        <f>KPI_Summary!B3</f>
        <v>33850</v>
      </c>
    </row>
    <row r="4">
      <c r="B4" s="9" t="s">
        <v>36</v>
      </c>
      <c r="C4" s="11">
        <f>KPI_Summary!B4</f>
        <v>3385</v>
      </c>
    </row>
    <row r="5">
      <c r="B5" s="9" t="s">
        <v>18</v>
      </c>
      <c r="C5" s="12">
        <f>KPI_Summary!B5</f>
        <v>0.2014123377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88"/>
  </cols>
  <sheetData>
    <row r="1"/>
    <row r="2"/>
    <row r="3"/>
    <row r="4"/>
    <row r="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